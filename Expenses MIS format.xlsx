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il Backup as on 30102021\Vibe Software\Software Installation\"/>
    </mc:Choice>
  </mc:AlternateContent>
  <xr:revisionPtr revIDLastSave="0" documentId="13_ncr:1_{880D192B-C75C-43DC-8633-84B683561298}" xr6:coauthVersionLast="47" xr6:coauthVersionMax="47" xr10:uidLastSave="{00000000-0000-0000-0000-000000000000}"/>
  <bookViews>
    <workbookView xWindow="-120" yWindow="-120" windowWidth="20730" windowHeight="11040" tabRatio="853" xr2:uid="{75CB8762-011F-42DD-BB40-E68186E337C5}"/>
  </bookViews>
  <sheets>
    <sheet name="CLUBHOUSE EXP" sheetId="5" r:id="rId1"/>
  </sheets>
  <definedNames>
    <definedName name="_xlnm._FilterDatabase" localSheetId="0" hidden="1">'CLUBHOUSE EXP'!$A$1:$K$5</definedName>
    <definedName name="_xlnm.Print_Area" localSheetId="0">'CLUBHOUSE EXP'!#REF!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I3" i="5"/>
  <c r="I2" i="5"/>
  <c r="I5" i="5"/>
  <c r="H5" i="5"/>
  <c r="J4" i="5" l="1"/>
  <c r="J3" i="5"/>
  <c r="A3" i="5"/>
  <c r="A4" i="5" s="1"/>
  <c r="J2" i="5"/>
  <c r="J5" i="5" s="1"/>
</calcChain>
</file>

<file path=xl/sharedStrings.xml><?xml version="1.0" encoding="utf-8"?>
<sst xmlns="http://schemas.openxmlformats.org/spreadsheetml/2006/main" count="24" uniqueCount="18">
  <si>
    <t xml:space="preserve">Sr. no. </t>
  </si>
  <si>
    <t>Service</t>
  </si>
  <si>
    <t>Site Name</t>
  </si>
  <si>
    <t>Vendor Name</t>
  </si>
  <si>
    <t>Invoice NO.</t>
  </si>
  <si>
    <t>Invoice Date</t>
  </si>
  <si>
    <t>Amount</t>
  </si>
  <si>
    <t>Tax</t>
  </si>
  <si>
    <t>Total Amount</t>
  </si>
  <si>
    <t>Particular</t>
  </si>
  <si>
    <t>Club House</t>
  </si>
  <si>
    <t>Total Expenses till Oct., 2025</t>
  </si>
  <si>
    <t xml:space="preserve">Month </t>
  </si>
  <si>
    <t>Housekeeping Charges</t>
  </si>
  <si>
    <t>ABC PVt Ltd</t>
  </si>
  <si>
    <t>Being payment made towards housekeeping services for the month of April, 2025</t>
  </si>
  <si>
    <t>Being payment made towards housekeeping services for the month of May, 2025</t>
  </si>
  <si>
    <t>Being payment made towards housekeeping services for the month of 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</si>
</sst>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6" fillId="0" borderId="0"/>
    <xf numFmtId="0" fontId="7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65" fontId="10" fillId="0" borderId="1" xfId="1" applyNumberFormat="1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" fontId="10" fillId="0" borderId="1" xfId="0" quotePrefix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165" fontId="9" fillId="0" borderId="1" xfId="1" applyNumberFormat="1" applyFont="1" applyFill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 wrapText="1"/>
    </xf>
    <xf numFmtId="165" fontId="9" fillId="0" borderId="1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5" fontId="10" fillId="0" borderId="0" xfId="1" applyNumberFormat="1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8">
    <cellStyle name="Comma" xfId="1" builtinId="3"/>
    <cellStyle name="Comma 10" xfId="13" xr:uid="{FDDA3D51-3AF6-490D-95E8-62706168D612}"/>
    <cellStyle name="Comma 2" xfId="2" xr:uid="{00000000-0005-0000-0000-000001000000}"/>
    <cellStyle name="Comma 2 2" xfId="7" xr:uid="{00000000-0005-0000-0000-000002000000}"/>
    <cellStyle name="Comma 2 3" xfId="17" xr:uid="{01A19699-6193-41BD-A852-1E8EEAAD29A2}"/>
    <cellStyle name="Comma 3" xfId="6" xr:uid="{00000000-0005-0000-0000-000003000000}"/>
    <cellStyle name="Comma 3 2" xfId="16" xr:uid="{6250AA76-09CB-4890-992C-28560375DFF9}"/>
    <cellStyle name="Comma 4" xfId="12" xr:uid="{0C124A3E-B9A0-497D-B0EF-2B7A184E5A7A}"/>
    <cellStyle name="Comma 5" xfId="15" xr:uid="{BA5932BF-260A-4D61-BE7B-7B7B04670C05}"/>
    <cellStyle name="Excel Built-in Normal" xfId="10" xr:uid="{DA365FC3-AFC1-4293-92AC-8A986E4A7D96}"/>
    <cellStyle name="Normal" xfId="0" builtinId="0"/>
    <cellStyle name="Normal 2" xfId="5" xr:uid="{00000000-0005-0000-0000-000005000000}"/>
    <cellStyle name="Normal 2 2" xfId="8" xr:uid="{E7A389AD-D510-4BC2-887F-F2FCC88EDBE5}"/>
    <cellStyle name="Normal 3" xfId="3" xr:uid="{00000000-0005-0000-0000-000006000000}"/>
    <cellStyle name="Normal 3 2" xfId="4" xr:uid="{00000000-0005-0000-0000-000007000000}"/>
    <cellStyle name="Normal 4" xfId="11" xr:uid="{5CDF034E-2525-4857-AF59-18EE3F6DCFA8}"/>
    <cellStyle name="Percent 10" xfId="14" xr:uid="{158BCA1C-F2C1-45C2-BE16-B7149726E948}"/>
    <cellStyle name="Percent 2" xfId="9" xr:uid="{82422CEA-5C03-4037-A652-1C93ACBF9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5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K5" sqref="K5"/>
    </sheetView>
  </sheetViews>
  <sheetFormatPr defaultColWidth="43" defaultRowHeight="15.75" x14ac:dyDescent="0.25"/>
  <cols>
    <col min="1" max="1" width="7.42578125" style="3" bestFit="1" customWidth="1"/>
    <col min="2" max="2" width="9.7109375" style="3" bestFit="1" customWidth="1"/>
    <col min="3" max="3" width="27.140625" style="13" customWidth="1"/>
    <col min="4" max="4" width="22.5703125" style="13" customWidth="1"/>
    <col min="5" max="5" width="43" style="13"/>
    <col min="6" max="6" width="23.5703125" style="3" customWidth="1"/>
    <col min="7" max="7" width="14.5703125" style="3" bestFit="1" customWidth="1"/>
    <col min="8" max="8" width="16.42578125" style="14" bestFit="1" customWidth="1"/>
    <col min="9" max="9" width="14.5703125" style="14" customWidth="1"/>
    <col min="10" max="10" width="17.5703125" style="14" bestFit="1" customWidth="1"/>
    <col min="11" max="11" width="47.140625" style="3" customWidth="1"/>
    <col min="12" max="16384" width="43" style="3"/>
  </cols>
  <sheetData>
    <row r="1" spans="1:11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6</v>
      </c>
      <c r="I1" s="10" t="s">
        <v>7</v>
      </c>
      <c r="J1" s="10" t="s">
        <v>8</v>
      </c>
      <c r="K1" s="2" t="s">
        <v>9</v>
      </c>
    </row>
    <row r="2" spans="1:11" ht="31.5" x14ac:dyDescent="0.25">
      <c r="A2" s="4">
        <v>1</v>
      </c>
      <c r="B2" s="5">
        <v>45748</v>
      </c>
      <c r="C2" s="6" t="s">
        <v>13</v>
      </c>
      <c r="D2" s="6" t="s">
        <v>10</v>
      </c>
      <c r="E2" s="6" t="s">
        <v>14</v>
      </c>
      <c r="F2" s="8">
        <v>1</v>
      </c>
      <c r="G2" s="7">
        <v>44083</v>
      </c>
      <c r="H2" s="1">
        <v>51258</v>
      </c>
      <c r="I2" s="1">
        <f>H2*18%</f>
        <v>9226.44</v>
      </c>
      <c r="J2" s="1">
        <f t="shared" ref="J2:J4" si="0">H2+I2</f>
        <v>60484.44</v>
      </c>
      <c r="K2" s="6" t="s">
        <v>15</v>
      </c>
    </row>
    <row r="3" spans="1:11" ht="31.5" x14ac:dyDescent="0.25">
      <c r="A3" s="4">
        <f>A2+1</f>
        <v>2</v>
      </c>
      <c r="B3" s="5">
        <v>45778</v>
      </c>
      <c r="C3" s="6" t="s">
        <v>13</v>
      </c>
      <c r="D3" s="6" t="s">
        <v>10</v>
      </c>
      <c r="E3" s="6" t="s">
        <v>14</v>
      </c>
      <c r="F3" s="6">
        <v>2</v>
      </c>
      <c r="G3" s="7">
        <v>44083</v>
      </c>
      <c r="H3" s="1">
        <v>10174</v>
      </c>
      <c r="I3" s="1">
        <f t="shared" ref="I3:I4" si="1">H3*18%</f>
        <v>1831.32</v>
      </c>
      <c r="J3" s="1">
        <f t="shared" si="0"/>
        <v>12005.32</v>
      </c>
      <c r="K3" s="6" t="s">
        <v>16</v>
      </c>
    </row>
    <row r="4" spans="1:11" ht="31.5" x14ac:dyDescent="0.25">
      <c r="A4" s="4">
        <f t="shared" ref="A4" si="2">A3+1</f>
        <v>3</v>
      </c>
      <c r="B4" s="5">
        <v>45809</v>
      </c>
      <c r="C4" s="6" t="s">
        <v>13</v>
      </c>
      <c r="D4" s="6" t="s">
        <v>10</v>
      </c>
      <c r="E4" s="6" t="s">
        <v>14</v>
      </c>
      <c r="F4" s="6">
        <v>3</v>
      </c>
      <c r="G4" s="7">
        <v>44113</v>
      </c>
      <c r="H4" s="1">
        <v>6363</v>
      </c>
      <c r="I4" s="1">
        <f t="shared" si="1"/>
        <v>1145.3399999999999</v>
      </c>
      <c r="J4" s="1">
        <f t="shared" si="0"/>
        <v>7508.34</v>
      </c>
      <c r="K4" s="6" t="s">
        <v>17</v>
      </c>
    </row>
    <row r="5" spans="1:11" s="12" customFormat="1" x14ac:dyDescent="0.25">
      <c r="A5" s="15" t="s">
        <v>11</v>
      </c>
      <c r="B5" s="16"/>
      <c r="C5" s="16"/>
      <c r="D5" s="16"/>
      <c r="E5" s="16"/>
      <c r="F5" s="16"/>
      <c r="G5" s="17"/>
      <c r="H5" s="11">
        <f>SUM(H2:H4)</f>
        <v>67795</v>
      </c>
      <c r="I5" s="11">
        <f t="shared" ref="I5:J5" si="3">SUM(I2:I4)</f>
        <v>12203.1</v>
      </c>
      <c r="J5" s="11">
        <f t="shared" si="3"/>
        <v>79998.100000000006</v>
      </c>
      <c r="K5" s="2"/>
    </row>
  </sheetData>
  <autoFilter ref="A1:K5" xr:uid="{00000000-0001-0000-0200-000000000000}"/>
  <mergeCells count="1">
    <mergeCell ref="A5:G5"/>
  </mergeCells>
  <pageMargins left="0.7" right="0.7" top="0.75" bottom="0.75" header="0.3" footer="0.3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CLUBHOUSE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Kannaujiya</dc:creator>
  <cp:lastModifiedBy>Facility Team</cp:lastModifiedBy>
  <cp:lastPrinted>2025-11-07T05:44:22Z</cp:lastPrinted>
  <dcterms:created xsi:type="dcterms:W3CDTF">2022-10-04T05:43:45Z</dcterms:created>
  <dcterms:modified xsi:type="dcterms:W3CDTF">2025-12-10T06:42:43Z</dcterms:modified>
</cp:coreProperties>
</file>