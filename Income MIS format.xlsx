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nil Backup as on 30102021\Vibe Software\Software Installation\"/>
    </mc:Choice>
  </mc:AlternateContent>
  <xr:revisionPtr revIDLastSave="0" documentId="13_ncr:1_{0279CA2A-EA60-44C0-91BB-B32753874972}" xr6:coauthVersionLast="47" xr6:coauthVersionMax="47" xr10:uidLastSave="{00000000-0000-0000-0000-000000000000}"/>
  <bookViews>
    <workbookView xWindow="-120" yWindow="-120" windowWidth="20730" windowHeight="11040" tabRatio="853" xr2:uid="{75CB8762-011F-42DD-BB40-E68186E337C5}"/>
  </bookViews>
  <sheets>
    <sheet name="Income MIS" sheetId="26" r:id="rId1"/>
  </sheets>
  <definedNames>
    <definedName name="_xlnm._FilterDatabase" localSheetId="0" hidden="1">'Income MIS'!$A:$P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26" l="1"/>
  <c r="L4" i="26"/>
  <c r="K4" i="26"/>
  <c r="J4" i="26"/>
  <c r="H4" i="26"/>
  <c r="K3" i="26" l="1"/>
  <c r="J3" i="26"/>
  <c r="A3" i="26"/>
  <c r="K2" i="26"/>
  <c r="J2" i="26"/>
  <c r="M3" i="26" l="1"/>
  <c r="M2" i="26"/>
</calcChain>
</file>

<file path=xl/sharedStrings.xml><?xml version="1.0" encoding="utf-8"?>
<sst xmlns="http://schemas.openxmlformats.org/spreadsheetml/2006/main" count="22" uniqueCount="20">
  <si>
    <t>Invoice Date</t>
  </si>
  <si>
    <t>Taxable Amount</t>
  </si>
  <si>
    <t>Rate</t>
  </si>
  <si>
    <t>CGST</t>
  </si>
  <si>
    <t>SGST</t>
  </si>
  <si>
    <t>Total</t>
  </si>
  <si>
    <t>Sr. No.</t>
  </si>
  <si>
    <t>Month of Service</t>
  </si>
  <si>
    <t>Invoice No.</t>
  </si>
  <si>
    <t>Customer details</t>
  </si>
  <si>
    <t>Description of Service</t>
  </si>
  <si>
    <t>Services</t>
  </si>
  <si>
    <t>IGST</t>
  </si>
  <si>
    <t>Payment mode</t>
  </si>
  <si>
    <t>Tenant Membership for six months</t>
  </si>
  <si>
    <t>Tenant Membership</t>
  </si>
  <si>
    <t>Card</t>
  </si>
  <si>
    <t>Tenant Membership for one month</t>
  </si>
  <si>
    <t>Payment Details</t>
  </si>
  <si>
    <t>Total Income till Sept.,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</si>
</sst>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9" fontId="1" fillId="0" borderId="0" applyFont="0" applyFill="0" applyBorder="0" applyAlignment="0" applyProtection="0"/>
    <xf numFmtId="0" fontId="9" fillId="0" borderId="0"/>
    <xf numFmtId="0" fontId="1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7" fillId="0" borderId="1" xfId="0" applyFont="1" applyBorder="1" applyAlignment="1">
      <alignment horizontal="center" vertical="center"/>
    </xf>
    <xf numFmtId="17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165" fontId="7" fillId="0" borderId="1" xfId="1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2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0" fillId="0" borderId="0" xfId="1" applyNumberFormat="1" applyFont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7" fontId="6" fillId="0" borderId="1" xfId="2" applyNumberFormat="1" applyFont="1" applyFill="1" applyBorder="1" applyAlignment="1">
      <alignment horizontal="right" vertical="center" wrapText="1"/>
    </xf>
    <xf numFmtId="167" fontId="7" fillId="0" borderId="1" xfId="2" applyNumberFormat="1" applyFont="1" applyFill="1" applyBorder="1" applyAlignment="1">
      <alignment horizontal="right" vertical="center"/>
    </xf>
    <xf numFmtId="167" fontId="0" fillId="0" borderId="0" xfId="2" applyNumberFormat="1" applyFont="1" applyBorder="1" applyAlignment="1">
      <alignment horizontal="right" vertical="center"/>
    </xf>
    <xf numFmtId="165" fontId="0" fillId="0" borderId="0" xfId="1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167" fontId="2" fillId="0" borderId="1" xfId="2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</cellXfs>
  <cellStyles count="18">
    <cellStyle name="Comma" xfId="1" builtinId="3"/>
    <cellStyle name="Comma 10" xfId="13" xr:uid="{FDDA3D51-3AF6-490D-95E8-62706168D612}"/>
    <cellStyle name="Comma 2" xfId="2" xr:uid="{00000000-0005-0000-0000-000001000000}"/>
    <cellStyle name="Comma 2 2" xfId="7" xr:uid="{00000000-0005-0000-0000-000002000000}"/>
    <cellStyle name="Comma 2 3" xfId="17" xr:uid="{01A19699-6193-41BD-A852-1E8EEAAD29A2}"/>
    <cellStyle name="Comma 3" xfId="6" xr:uid="{00000000-0005-0000-0000-000003000000}"/>
    <cellStyle name="Comma 3 2" xfId="16" xr:uid="{6250AA76-09CB-4890-992C-28560375DFF9}"/>
    <cellStyle name="Comma 4" xfId="12" xr:uid="{0C124A3E-B9A0-497D-B0EF-2B7A184E5A7A}"/>
    <cellStyle name="Comma 5" xfId="15" xr:uid="{BA5932BF-260A-4D61-BE7B-7B7B04670C05}"/>
    <cellStyle name="Excel Built-in Normal" xfId="10" xr:uid="{DA365FC3-AFC1-4293-92AC-8A986E4A7D96}"/>
    <cellStyle name="Normal" xfId="0" builtinId="0"/>
    <cellStyle name="Normal 2" xfId="5" xr:uid="{00000000-0005-0000-0000-000005000000}"/>
    <cellStyle name="Normal 2 2" xfId="8" xr:uid="{E7A389AD-D510-4BC2-887F-F2FCC88EDBE5}"/>
    <cellStyle name="Normal 3" xfId="3" xr:uid="{00000000-0005-0000-0000-000006000000}"/>
    <cellStyle name="Normal 3 2" xfId="4" xr:uid="{00000000-0005-0000-0000-000007000000}"/>
    <cellStyle name="Normal 4" xfId="11" xr:uid="{5CDF034E-2525-4857-AF59-18EE3F6DCFA8}"/>
    <cellStyle name="Percent 10" xfId="14" xr:uid="{158BCA1C-F2C1-45C2-BE16-B7149726E948}"/>
    <cellStyle name="Percent 2" xfId="9" xr:uid="{82422CEA-5C03-4037-A652-1C93ACBF98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P4"/>
  <sheetViews>
    <sheetView tabSelected="1" zoomScale="80" zoomScaleNormal="80" workbookViewId="0">
      <pane xSplit="1" ySplit="1" topLeftCell="B2" activePane="bottomRight" state="frozen"/>
      <selection activeCell="BA77" sqref="BA77"/>
      <selection pane="topRight" activeCell="BA77" sqref="BA77"/>
      <selection pane="bottomLeft" activeCell="BA77" sqref="BA77"/>
      <selection pane="bottomRight" activeCell="A5" sqref="A5"/>
    </sheetView>
  </sheetViews>
  <sheetFormatPr defaultColWidth="9.140625" defaultRowHeight="15" x14ac:dyDescent="0.25"/>
  <cols>
    <col min="1" max="1" width="9.140625" style="9"/>
    <col min="2" max="2" width="9.140625" style="3"/>
    <col min="3" max="3" width="12.140625" style="12" bestFit="1" customWidth="1"/>
    <col min="4" max="4" width="16" style="3" bestFit="1" customWidth="1"/>
    <col min="5" max="5" width="34.5703125" style="12" customWidth="1"/>
    <col min="6" max="6" width="40.42578125" style="12" customWidth="1"/>
    <col min="7" max="7" width="29.5703125" style="12" bestFit="1" customWidth="1"/>
    <col min="8" max="8" width="15.28515625" style="10" bestFit="1" customWidth="1"/>
    <col min="9" max="9" width="5.85546875" style="16" bestFit="1" customWidth="1"/>
    <col min="10" max="11" width="13.5703125" style="17" bestFit="1" customWidth="1"/>
    <col min="12" max="12" width="9.85546875" style="17" bestFit="1" customWidth="1"/>
    <col min="13" max="13" width="15.28515625" style="17" bestFit="1" customWidth="1"/>
    <col min="14" max="14" width="9.140625" style="3"/>
    <col min="15" max="15" width="31.42578125" style="11" customWidth="1"/>
    <col min="16" max="16384" width="9.140625" style="3"/>
  </cols>
  <sheetData>
    <row r="1" spans="1:16" ht="45" x14ac:dyDescent="0.25">
      <c r="A1" s="6" t="s">
        <v>6</v>
      </c>
      <c r="B1" s="6" t="s">
        <v>7</v>
      </c>
      <c r="C1" s="6" t="s">
        <v>0</v>
      </c>
      <c r="D1" s="6" t="s">
        <v>8</v>
      </c>
      <c r="E1" s="6" t="s">
        <v>9</v>
      </c>
      <c r="F1" s="6" t="s">
        <v>10</v>
      </c>
      <c r="G1" s="6" t="s">
        <v>11</v>
      </c>
      <c r="H1" s="13" t="s">
        <v>1</v>
      </c>
      <c r="I1" s="14" t="s">
        <v>2</v>
      </c>
      <c r="J1" s="7" t="s">
        <v>3</v>
      </c>
      <c r="K1" s="7" t="s">
        <v>4</v>
      </c>
      <c r="L1" s="7" t="s">
        <v>12</v>
      </c>
      <c r="M1" s="7" t="s">
        <v>5</v>
      </c>
      <c r="N1" s="6" t="s">
        <v>13</v>
      </c>
      <c r="O1" s="6" t="s">
        <v>18</v>
      </c>
      <c r="P1" s="11"/>
    </row>
    <row r="2" spans="1:16" x14ac:dyDescent="0.25">
      <c r="A2" s="1">
        <v>1</v>
      </c>
      <c r="B2" s="2">
        <v>45931</v>
      </c>
      <c r="C2" s="8"/>
      <c r="D2" s="1"/>
      <c r="E2" s="1"/>
      <c r="F2" s="1" t="s">
        <v>14</v>
      </c>
      <c r="G2" s="1" t="s">
        <v>15</v>
      </c>
      <c r="H2" s="5">
        <v>12000</v>
      </c>
      <c r="I2" s="15">
        <v>18</v>
      </c>
      <c r="J2" s="5">
        <f t="shared" ref="J2:J3" si="0">H2*(I2/2)%</f>
        <v>1080</v>
      </c>
      <c r="K2" s="5">
        <f t="shared" ref="K2:K3" si="1">H2*(I2/2)%</f>
        <v>1080</v>
      </c>
      <c r="L2" s="5"/>
      <c r="M2" s="5">
        <f t="shared" ref="M2:M3" si="2">H2+J2+K2+L2</f>
        <v>14160</v>
      </c>
      <c r="N2" s="1" t="s">
        <v>16</v>
      </c>
      <c r="O2" s="4"/>
      <c r="P2" s="11"/>
    </row>
    <row r="3" spans="1:16" x14ac:dyDescent="0.25">
      <c r="A3" s="1">
        <f>A2+1</f>
        <v>2</v>
      </c>
      <c r="B3" s="2">
        <v>45962</v>
      </c>
      <c r="C3" s="8"/>
      <c r="D3" s="1"/>
      <c r="E3" s="1"/>
      <c r="F3" s="1" t="s">
        <v>17</v>
      </c>
      <c r="G3" s="1" t="s">
        <v>15</v>
      </c>
      <c r="H3" s="5">
        <v>3000</v>
      </c>
      <c r="I3" s="15">
        <v>18</v>
      </c>
      <c r="J3" s="5">
        <f t="shared" si="0"/>
        <v>270</v>
      </c>
      <c r="K3" s="5">
        <f t="shared" si="1"/>
        <v>270</v>
      </c>
      <c r="L3" s="5"/>
      <c r="M3" s="5">
        <f t="shared" si="2"/>
        <v>3540</v>
      </c>
      <c r="N3" s="1" t="s">
        <v>16</v>
      </c>
      <c r="O3" s="4"/>
      <c r="P3" s="11"/>
    </row>
    <row r="4" spans="1:16" s="18" customFormat="1" x14ac:dyDescent="0.25">
      <c r="A4" s="23" t="s">
        <v>19</v>
      </c>
      <c r="B4" s="23"/>
      <c r="C4" s="23"/>
      <c r="D4" s="23"/>
      <c r="E4" s="23"/>
      <c r="F4" s="23"/>
      <c r="G4" s="23"/>
      <c r="H4" s="19">
        <f>SUM(H2:H3)</f>
        <v>15000</v>
      </c>
      <c r="I4" s="20"/>
      <c r="J4" s="19">
        <f t="shared" ref="J4:M4" si="3">SUM(J2:J3)</f>
        <v>1350</v>
      </c>
      <c r="K4" s="19">
        <f t="shared" si="3"/>
        <v>1350</v>
      </c>
      <c r="L4" s="19">
        <f t="shared" si="3"/>
        <v>0</v>
      </c>
      <c r="M4" s="19">
        <f t="shared" si="3"/>
        <v>17700</v>
      </c>
      <c r="N4" s="21"/>
      <c r="O4" s="22"/>
    </row>
  </sheetData>
  <autoFilter ref="A1:P1042651" xr:uid="{00000000-0001-0000-0400-000000000000}"/>
  <mergeCells count="1">
    <mergeCell ref="A4:G4"/>
  </mergeCells>
  <pageMargins left="0.7" right="0.7" top="0.75" bottom="0.75" header="0.3" footer="0.3"/>
  <pageSetup paperSize="8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Kannaujiya</dc:creator>
  <cp:lastModifiedBy>Facility Team</cp:lastModifiedBy>
  <cp:lastPrinted>2025-11-07T05:44:22Z</cp:lastPrinted>
  <dcterms:created xsi:type="dcterms:W3CDTF">2022-10-04T05:43:45Z</dcterms:created>
  <dcterms:modified xsi:type="dcterms:W3CDTF">2025-12-10T06:46:02Z</dcterms:modified>
</cp:coreProperties>
</file>