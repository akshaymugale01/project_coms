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kinjal.patel\Desktop\Tax Invoice Format\New folder\"/>
    </mc:Choice>
  </mc:AlternateContent>
  <xr:revisionPtr revIDLastSave="0" documentId="13_ncr:1_{21A084F6-49B1-468A-AF05-E6CE6B19AE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 24-25 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P39" i="1"/>
  <c r="P38" i="1"/>
  <c r="P37" i="1"/>
  <c r="P36" i="1"/>
  <c r="L35" i="1"/>
  <c r="J35" i="1"/>
  <c r="J30" i="1"/>
  <c r="O25" i="1"/>
  <c r="P25" i="1" s="1"/>
  <c r="L25" i="1"/>
  <c r="P24" i="1"/>
  <c r="O24" i="1"/>
  <c r="L24" i="1"/>
  <c r="P41" i="1"/>
  <c r="I35" i="1"/>
  <c r="J34" i="1"/>
  <c r="J33" i="1"/>
  <c r="J32" i="1"/>
  <c r="J31" i="1"/>
  <c r="J29" i="1"/>
  <c r="J28" i="1"/>
  <c r="J27" i="1"/>
  <c r="O26" i="1"/>
  <c r="L26" i="1"/>
  <c r="P26" i="1" s="1"/>
  <c r="O30" i="1" l="1"/>
  <c r="L30" i="1"/>
  <c r="P30" i="1" s="1"/>
  <c r="P29" i="1"/>
  <c r="P34" i="1"/>
  <c r="L27" i="1"/>
  <c r="L28" i="1"/>
  <c r="P28" i="1" s="1"/>
  <c r="L29" i="1"/>
  <c r="L31" i="1"/>
  <c r="P31" i="1" s="1"/>
  <c r="L32" i="1"/>
  <c r="P32" i="1" s="1"/>
  <c r="L33" i="1"/>
  <c r="P33" i="1" s="1"/>
  <c r="L34" i="1"/>
  <c r="O27" i="1"/>
  <c r="O28" i="1"/>
  <c r="O35" i="1" s="1"/>
  <c r="O29" i="1"/>
  <c r="O31" i="1"/>
  <c r="O32" i="1"/>
  <c r="O33" i="1"/>
  <c r="O34" i="1"/>
  <c r="P27" i="1" l="1"/>
  <c r="P35" i="1" s="1"/>
</calcChain>
</file>

<file path=xl/sharedStrings.xml><?xml version="1.0" encoding="utf-8"?>
<sst xmlns="http://schemas.openxmlformats.org/spreadsheetml/2006/main" count="46" uniqueCount="40">
  <si>
    <t>Tax Invoice</t>
  </si>
  <si>
    <t>Reverse Charge (Y/N): N</t>
  </si>
  <si>
    <t>State: Maharashtra</t>
  </si>
  <si>
    <t>Code</t>
  </si>
  <si>
    <t>Bill to Party</t>
  </si>
  <si>
    <t>S. No</t>
  </si>
  <si>
    <t>Service Description</t>
  </si>
  <si>
    <t>HSN/SAC Code</t>
  </si>
  <si>
    <t>Rate</t>
  </si>
  <si>
    <t>Taxable Value</t>
  </si>
  <si>
    <t>CGST</t>
  </si>
  <si>
    <t>SGST</t>
  </si>
  <si>
    <t>Total</t>
  </si>
  <si>
    <t>Rate %</t>
  </si>
  <si>
    <t>Amount</t>
  </si>
  <si>
    <t xml:space="preserve"> </t>
  </si>
  <si>
    <t>Total Invoice amount in words</t>
  </si>
  <si>
    <t>Total Amount before Tax</t>
  </si>
  <si>
    <t>Add: CGST</t>
  </si>
  <si>
    <t>Add: SGST</t>
  </si>
  <si>
    <t>Total Tax Amount</t>
  </si>
  <si>
    <t>Total Amount after Tax:</t>
  </si>
  <si>
    <t>Bank Details</t>
  </si>
  <si>
    <t>GST on Reverse Charge</t>
  </si>
  <si>
    <t>Terms &amp; conditions</t>
  </si>
  <si>
    <t>Common Seal</t>
  </si>
  <si>
    <t>Authorised signatory</t>
  </si>
  <si>
    <t xml:space="preserve">Invoice date: </t>
  </si>
  <si>
    <t xml:space="preserve">Name: </t>
  </si>
  <si>
    <t>Mode of Payment: UPI No.:</t>
  </si>
  <si>
    <t xml:space="preserve">Amount  inwords </t>
  </si>
  <si>
    <t>Certified that the particulars given above are true and correct</t>
  </si>
  <si>
    <t>JP Infra Venture LLP</t>
  </si>
  <si>
    <t xml:space="preserve">3rd Floor, 301, Viraj Tower, Near WEH, Metro Station, W.E.Highway, Andheri East, Mumbai -400093 </t>
  </si>
  <si>
    <t>GST No- 27AALFJ2933L1ZZ</t>
  </si>
  <si>
    <t>Invoice No: AV/24-25/001</t>
  </si>
  <si>
    <t>Address: JP Aviva</t>
  </si>
  <si>
    <t xml:space="preserve">Bank A/C: </t>
  </si>
  <si>
    <t xml:space="preserve">Bank IFSC: </t>
  </si>
  <si>
    <t>Place of Supply: Club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</si>
</sst>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6"/>
      <color theme="1"/>
      <name val="Book Antiqua"/>
      <family val="1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sz val="24"/>
      <color theme="1"/>
      <name val="Book Antiqua"/>
      <family val="1"/>
    </font>
    <font>
      <b/>
      <sz val="9"/>
      <color theme="1"/>
      <name val="Book Antiqua"/>
      <family val="1"/>
    </font>
    <font>
      <sz val="9"/>
      <color theme="1"/>
      <name val="Book Antiqua"/>
      <family val="1"/>
    </font>
    <font>
      <b/>
      <sz val="20"/>
      <color theme="1"/>
      <name val="Book Antiqua"/>
      <family val="1"/>
    </font>
    <font>
      <sz val="10"/>
      <color theme="1"/>
      <name val="Book Antiqua"/>
      <family val="1"/>
    </font>
    <font>
      <sz val="7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4" fillId="0" borderId="5" xfId="0" applyFont="1" applyBorder="1" applyAlignment="1">
      <alignment vertical="center" wrapText="1"/>
    </xf>
    <xf numFmtId="0" fontId="5" fillId="0" borderId="0" xfId="0" applyFont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4" fillId="0" borderId="13" xfId="0" applyFont="1" applyBorder="1" applyAlignment="1">
      <alignment horizontal="left" vertical="top"/>
    </xf>
    <xf numFmtId="0" fontId="4" fillId="0" borderId="15" xfId="0" applyFont="1" applyBorder="1" applyAlignment="1">
      <alignment vertical="top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7" fillId="0" borderId="17" xfId="0" applyFont="1" applyBorder="1"/>
    <xf numFmtId="0" fontId="7" fillId="2" borderId="40" xfId="0" applyFont="1" applyFill="1" applyBorder="1" applyAlignment="1">
      <alignment horizontal="center" wrapText="1"/>
    </xf>
    <xf numFmtId="0" fontId="7" fillId="2" borderId="40" xfId="0" applyFont="1" applyFill="1" applyBorder="1"/>
    <xf numFmtId="0" fontId="8" fillId="0" borderId="37" xfId="0" applyFont="1" applyBorder="1" applyAlignment="1">
      <alignment horizontal="center" vertical="center"/>
    </xf>
    <xf numFmtId="0" fontId="8" fillId="0" borderId="42" xfId="0" applyFont="1" applyBorder="1"/>
    <xf numFmtId="164" fontId="8" fillId="0" borderId="40" xfId="1" applyNumberFormat="1" applyFont="1" applyBorder="1"/>
    <xf numFmtId="9" fontId="8" fillId="0" borderId="40" xfId="1" applyNumberFormat="1" applyFont="1" applyBorder="1"/>
    <xf numFmtId="43" fontId="8" fillId="0" borderId="40" xfId="1" applyFont="1" applyBorder="1"/>
    <xf numFmtId="0" fontId="8" fillId="0" borderId="37" xfId="0" applyFont="1" applyBorder="1"/>
    <xf numFmtId="0" fontId="8" fillId="0" borderId="40" xfId="0" applyFont="1" applyBorder="1" applyAlignment="1">
      <alignment horizontal="left"/>
    </xf>
    <xf numFmtId="0" fontId="8" fillId="0" borderId="40" xfId="0" applyFont="1" applyBorder="1"/>
    <xf numFmtId="0" fontId="8" fillId="0" borderId="40" xfId="0" applyFont="1" applyBorder="1" applyAlignment="1">
      <alignment horizontal="center"/>
    </xf>
    <xf numFmtId="0" fontId="2" fillId="0" borderId="37" xfId="0" applyFont="1" applyBorder="1"/>
    <xf numFmtId="0" fontId="2" fillId="0" borderId="40" xfId="0" applyFont="1" applyBorder="1" applyAlignment="1">
      <alignment horizontal="center"/>
    </xf>
    <xf numFmtId="0" fontId="2" fillId="0" borderId="40" xfId="0" applyFont="1" applyBorder="1"/>
    <xf numFmtId="164" fontId="2" fillId="0" borderId="40" xfId="1" applyNumberFormat="1" applyFont="1" applyBorder="1"/>
    <xf numFmtId="0" fontId="2" fillId="0" borderId="43" xfId="0" applyFont="1" applyBorder="1"/>
    <xf numFmtId="0" fontId="2" fillId="0" borderId="45" xfId="0" applyFont="1" applyBorder="1"/>
    <xf numFmtId="0" fontId="9" fillId="2" borderId="47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10" fillId="0" borderId="6" xfId="0" applyFont="1" applyBorder="1"/>
    <xf numFmtId="0" fontId="10" fillId="0" borderId="7" xfId="0" applyFont="1" applyBorder="1"/>
    <xf numFmtId="164" fontId="2" fillId="0" borderId="50" xfId="1" applyNumberFormat="1" applyFont="1" applyBorder="1"/>
    <xf numFmtId="0" fontId="2" fillId="0" borderId="50" xfId="0" applyFont="1" applyBorder="1"/>
    <xf numFmtId="165" fontId="8" fillId="0" borderId="55" xfId="0" applyNumberFormat="1" applyFont="1" applyBorder="1" applyAlignment="1">
      <alignment vertical="center"/>
    </xf>
    <xf numFmtId="164" fontId="8" fillId="0" borderId="56" xfId="1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164" fontId="7" fillId="0" borderId="16" xfId="1" applyNumberFormat="1" applyFont="1" applyBorder="1" applyAlignment="1">
      <alignment horizontal="right"/>
    </xf>
    <xf numFmtId="164" fontId="7" fillId="0" borderId="46" xfId="1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7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164" fontId="8" fillId="0" borderId="37" xfId="1" applyNumberFormat="1" applyFont="1" applyBorder="1" applyAlignment="1">
      <alignment horizontal="right"/>
    </xf>
    <xf numFmtId="164" fontId="8" fillId="0" borderId="15" xfId="1" applyNumberFormat="1" applyFont="1" applyBorder="1" applyAlignment="1">
      <alignment horizontal="right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164" fontId="8" fillId="0" borderId="57" xfId="1" applyNumberFormat="1" applyFont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164" fontId="8" fillId="0" borderId="24" xfId="1" applyNumberFormat="1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53" xfId="0" applyFont="1" applyBorder="1" applyAlignment="1">
      <alignment horizontal="left"/>
    </xf>
    <xf numFmtId="0" fontId="4" fillId="0" borderId="51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164" fontId="8" fillId="0" borderId="53" xfId="1" applyNumberFormat="1" applyFont="1" applyBorder="1" applyAlignment="1">
      <alignment horizontal="right"/>
    </xf>
    <xf numFmtId="164" fontId="8" fillId="0" borderId="54" xfId="1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64" fontId="2" fillId="0" borderId="40" xfId="1" applyNumberFormat="1" applyFont="1" applyBorder="1" applyAlignment="1">
      <alignment horizontal="center"/>
    </xf>
    <xf numFmtId="164" fontId="2" fillId="0" borderId="40" xfId="1" applyNumberFormat="1" applyFont="1" applyBorder="1" applyAlignment="1">
      <alignment horizontal="left"/>
    </xf>
    <xf numFmtId="164" fontId="2" fillId="0" borderId="15" xfId="1" applyNumberFormat="1" applyFont="1" applyBorder="1" applyAlignment="1">
      <alignment horizontal="left"/>
    </xf>
    <xf numFmtId="0" fontId="2" fillId="0" borderId="3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64" fontId="2" fillId="0" borderId="50" xfId="1" applyNumberFormat="1" applyFont="1" applyBorder="1" applyAlignment="1">
      <alignment horizontal="center"/>
    </xf>
    <xf numFmtId="164" fontId="2" fillId="0" borderId="50" xfId="1" applyNumberFormat="1" applyFont="1" applyBorder="1" applyAlignment="1">
      <alignment horizontal="left"/>
    </xf>
    <xf numFmtId="164" fontId="2" fillId="0" borderId="52" xfId="1" applyNumberFormat="1" applyFont="1" applyBorder="1" applyAlignment="1">
      <alignment horizontal="left"/>
    </xf>
    <xf numFmtId="0" fontId="8" fillId="0" borderId="40" xfId="0" applyFont="1" applyBorder="1" applyAlignment="1">
      <alignment horizontal="center"/>
    </xf>
    <xf numFmtId="164" fontId="8" fillId="0" borderId="40" xfId="1" applyNumberFormat="1" applyFont="1" applyBorder="1" applyAlignment="1">
      <alignment horizontal="center"/>
    </xf>
    <xf numFmtId="164" fontId="8" fillId="0" borderId="40" xfId="1" applyNumberFormat="1" applyFont="1" applyBorder="1" applyAlignment="1">
      <alignment horizontal="left"/>
    </xf>
    <xf numFmtId="164" fontId="8" fillId="0" borderId="15" xfId="1" applyNumberFormat="1" applyFont="1" applyBorder="1" applyAlignment="1">
      <alignment horizontal="left"/>
    </xf>
    <xf numFmtId="14" fontId="8" fillId="0" borderId="40" xfId="0" applyNumberFormat="1" applyFont="1" applyBorder="1" applyAlignment="1">
      <alignment horizontal="left" wrapText="1"/>
    </xf>
    <xf numFmtId="0" fontId="8" fillId="0" borderId="40" xfId="0" applyFont="1" applyBorder="1" applyAlignment="1">
      <alignment horizontal="left"/>
    </xf>
    <xf numFmtId="0" fontId="0" fillId="0" borderId="4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7" fillId="2" borderId="35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/>
    </xf>
    <xf numFmtId="0" fontId="8" fillId="0" borderId="41" xfId="0" applyFont="1" applyBorder="1" applyAlignment="1">
      <alignment horizontal="left" wrapText="1"/>
    </xf>
    <xf numFmtId="0" fontId="8" fillId="0" borderId="13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43" fontId="8" fillId="0" borderId="40" xfId="1" applyFont="1" applyBorder="1" applyAlignment="1">
      <alignment horizontal="center"/>
    </xf>
    <xf numFmtId="164" fontId="8" fillId="0" borderId="15" xfId="1" applyNumberFormat="1" applyFont="1" applyBorder="1" applyAlignment="1">
      <alignment horizontal="center"/>
    </xf>
    <xf numFmtId="0" fontId="7" fillId="2" borderId="32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5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31" xfId="0" applyFont="1" applyBorder="1"/>
    <xf numFmtId="0" fontId="7" fillId="0" borderId="20" xfId="0" applyFont="1" applyBorder="1"/>
    <xf numFmtId="0" fontId="7" fillId="0" borderId="21" xfId="0" applyFont="1" applyBorder="1"/>
    <xf numFmtId="0" fontId="4" fillId="0" borderId="14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8"/>
  <sheetViews>
    <sheetView tabSelected="1" topLeftCell="A31" workbookViewId="0">
      <selection activeCell="A13" sqref="A13:Q13"/>
    </sheetView>
  </sheetViews>
  <sheetFormatPr defaultRowHeight="15" x14ac:dyDescent="0.25"/>
  <sheetData>
    <row r="2" spans="1:17" ht="15.75" thickBot="1" x14ac:dyDescent="0.3"/>
    <row r="3" spans="1:17" ht="20.25" x14ac:dyDescent="0.3">
      <c r="A3" s="1"/>
      <c r="B3" s="2"/>
      <c r="C3" s="3"/>
      <c r="D3" s="185" t="s">
        <v>32</v>
      </c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4"/>
      <c r="P3" s="4"/>
      <c r="Q3" s="5"/>
    </row>
    <row r="4" spans="1:17" ht="16.5" x14ac:dyDescent="0.3">
      <c r="A4" s="6"/>
      <c r="B4" s="7"/>
      <c r="C4" s="8"/>
      <c r="D4" s="8"/>
      <c r="E4" s="186" t="s">
        <v>33</v>
      </c>
      <c r="F4" s="186"/>
      <c r="G4" s="186"/>
      <c r="H4" s="186"/>
      <c r="I4" s="186"/>
      <c r="J4" s="186"/>
      <c r="K4" s="186"/>
      <c r="L4" s="186"/>
      <c r="M4" s="186"/>
      <c r="N4" s="186"/>
      <c r="O4" s="7"/>
      <c r="P4" s="7"/>
      <c r="Q4" s="9"/>
    </row>
    <row r="5" spans="1:17" ht="36" customHeight="1" x14ac:dyDescent="0.3">
      <c r="A5" s="6"/>
      <c r="B5" s="7"/>
      <c r="C5" s="10"/>
      <c r="D5" s="10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7"/>
      <c r="P5" s="7"/>
      <c r="Q5" s="9"/>
    </row>
    <row r="6" spans="1:17" ht="17.25" thickBot="1" x14ac:dyDescent="0.35">
      <c r="A6" s="11"/>
      <c r="B6" s="12"/>
      <c r="C6" s="13"/>
      <c r="D6" s="13"/>
      <c r="E6" s="13"/>
      <c r="F6" s="187" t="s">
        <v>34</v>
      </c>
      <c r="G6" s="187"/>
      <c r="H6" s="187"/>
      <c r="I6" s="187"/>
      <c r="J6" s="187"/>
      <c r="K6" s="187"/>
      <c r="L6" s="187"/>
      <c r="M6" s="187"/>
      <c r="N6" s="187"/>
      <c r="O6" s="14"/>
      <c r="P6" s="15"/>
      <c r="Q6" s="16"/>
    </row>
    <row r="7" spans="1:17" x14ac:dyDescent="0.25">
      <c r="A7" s="188" t="s">
        <v>0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90"/>
    </row>
    <row r="8" spans="1:17" ht="15.75" thickBot="1" x14ac:dyDescent="0.3">
      <c r="A8" s="191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3"/>
    </row>
    <row r="9" spans="1:17" x14ac:dyDescent="0.25">
      <c r="A9" s="194" t="s">
        <v>35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6"/>
    </row>
    <row r="10" spans="1:17" x14ac:dyDescent="0.25">
      <c r="A10" s="152" t="s">
        <v>27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84"/>
    </row>
    <row r="11" spans="1:17" x14ac:dyDescent="0.25">
      <c r="A11" s="152" t="s">
        <v>1</v>
      </c>
      <c r="B11" s="153"/>
      <c r="C11" s="153"/>
      <c r="D11" s="153"/>
      <c r="E11" s="153"/>
      <c r="F11" s="153"/>
      <c r="G11" s="153"/>
      <c r="H11" s="17"/>
      <c r="I11" s="18"/>
      <c r="J11" s="154"/>
      <c r="K11" s="154"/>
      <c r="L11" s="154"/>
      <c r="M11" s="154"/>
      <c r="N11" s="154"/>
      <c r="O11" s="154"/>
      <c r="P11" s="154"/>
      <c r="Q11" s="155"/>
    </row>
    <row r="12" spans="1:17" ht="15.75" thickBot="1" x14ac:dyDescent="0.3">
      <c r="A12" s="156" t="s">
        <v>2</v>
      </c>
      <c r="B12" s="157"/>
      <c r="C12" s="157"/>
      <c r="D12" s="157"/>
      <c r="E12" s="157"/>
      <c r="F12" s="157"/>
      <c r="G12" s="19" t="s">
        <v>3</v>
      </c>
      <c r="H12" s="20"/>
      <c r="I12" s="21">
        <v>27</v>
      </c>
      <c r="J12" s="158" t="s">
        <v>39</v>
      </c>
      <c r="K12" s="158"/>
      <c r="L12" s="158"/>
      <c r="M12" s="158"/>
      <c r="N12" s="158"/>
      <c r="O12" s="158"/>
      <c r="P12" s="158"/>
      <c r="Q12" s="159"/>
    </row>
    <row r="13" spans="1:17" ht="15.75" thickBot="1" x14ac:dyDescent="0.3">
      <c r="A13" s="160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2"/>
    </row>
    <row r="14" spans="1:17" ht="15.75" thickBot="1" x14ac:dyDescent="0.3">
      <c r="A14" s="98" t="s">
        <v>4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3"/>
    </row>
    <row r="15" spans="1:17" ht="15.75" x14ac:dyDescent="0.3">
      <c r="A15" s="164" t="s">
        <v>28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6"/>
    </row>
    <row r="16" spans="1:17" x14ac:dyDescent="0.25">
      <c r="A16" s="167" t="s">
        <v>36</v>
      </c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9"/>
    </row>
    <row r="17" spans="1:17" x14ac:dyDescent="0.25">
      <c r="A17" s="170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2"/>
    </row>
    <row r="18" spans="1:17" x14ac:dyDescent="0.25">
      <c r="A18" s="173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5"/>
    </row>
    <row r="19" spans="1:17" x14ac:dyDescent="0.25">
      <c r="A19" s="176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8"/>
    </row>
    <row r="20" spans="1:17" ht="16.5" thickBot="1" x14ac:dyDescent="0.35">
      <c r="A20" s="179" t="s">
        <v>2</v>
      </c>
      <c r="B20" s="180"/>
      <c r="C20" s="180"/>
      <c r="D20" s="180"/>
      <c r="E20" s="180"/>
      <c r="F20" s="180"/>
      <c r="G20" s="22" t="s">
        <v>3</v>
      </c>
      <c r="H20" s="22">
        <v>27</v>
      </c>
      <c r="I20" s="181" t="s">
        <v>29</v>
      </c>
      <c r="J20" s="182"/>
      <c r="K20" s="182"/>
      <c r="L20" s="182"/>
      <c r="M20" s="182"/>
      <c r="N20" s="182"/>
      <c r="O20" s="182"/>
      <c r="P20" s="182"/>
      <c r="Q20" s="183"/>
    </row>
    <row r="21" spans="1:17" ht="16.5" thickBot="1" x14ac:dyDescent="0.35">
      <c r="A21" s="148"/>
      <c r="B21" s="149"/>
      <c r="C21" s="149"/>
      <c r="D21" s="149"/>
      <c r="E21" s="149"/>
      <c r="F21" s="149"/>
      <c r="G21" s="149"/>
      <c r="H21" s="149"/>
      <c r="I21" s="149"/>
      <c r="J21" s="150"/>
      <c r="K21" s="150"/>
      <c r="L21" s="150"/>
      <c r="M21" s="150"/>
      <c r="N21" s="150"/>
      <c r="O21" s="150"/>
      <c r="P21" s="150"/>
      <c r="Q21" s="151"/>
    </row>
    <row r="22" spans="1:17" ht="15.75" x14ac:dyDescent="0.3">
      <c r="A22" s="138" t="s">
        <v>5</v>
      </c>
      <c r="B22" s="140" t="s">
        <v>6</v>
      </c>
      <c r="C22" s="141"/>
      <c r="D22" s="141"/>
      <c r="E22" s="141"/>
      <c r="F22" s="141"/>
      <c r="G22" s="142"/>
      <c r="H22" s="146" t="s">
        <v>7</v>
      </c>
      <c r="I22" s="146" t="s">
        <v>8</v>
      </c>
      <c r="J22" s="146" t="s">
        <v>9</v>
      </c>
      <c r="K22" s="127" t="s">
        <v>10</v>
      </c>
      <c r="L22" s="127"/>
      <c r="M22" s="127"/>
      <c r="N22" s="127" t="s">
        <v>11</v>
      </c>
      <c r="O22" s="127"/>
      <c r="P22" s="128" t="s">
        <v>12</v>
      </c>
      <c r="Q22" s="129"/>
    </row>
    <row r="23" spans="1:17" ht="15.75" x14ac:dyDescent="0.3">
      <c r="A23" s="139"/>
      <c r="B23" s="143"/>
      <c r="C23" s="144"/>
      <c r="D23" s="144"/>
      <c r="E23" s="144"/>
      <c r="F23" s="144"/>
      <c r="G23" s="145"/>
      <c r="H23" s="147"/>
      <c r="I23" s="147"/>
      <c r="J23" s="147"/>
      <c r="K23" s="23" t="s">
        <v>13</v>
      </c>
      <c r="L23" s="132" t="s">
        <v>14</v>
      </c>
      <c r="M23" s="132"/>
      <c r="N23" s="23" t="s">
        <v>13</v>
      </c>
      <c r="O23" s="24" t="s">
        <v>14</v>
      </c>
      <c r="P23" s="130"/>
      <c r="Q23" s="131"/>
    </row>
    <row r="24" spans="1:17" x14ac:dyDescent="0.25">
      <c r="A24" s="25"/>
      <c r="B24" s="133"/>
      <c r="C24" s="134"/>
      <c r="D24" s="134"/>
      <c r="E24" s="134"/>
      <c r="F24" s="134"/>
      <c r="G24" s="135"/>
      <c r="H24" s="26"/>
      <c r="J24" s="27"/>
      <c r="K24" s="28">
        <v>0.09</v>
      </c>
      <c r="L24" s="136">
        <f>J24*K24</f>
        <v>0</v>
      </c>
      <c r="M24" s="119"/>
      <c r="N24" s="28">
        <v>0.09</v>
      </c>
      <c r="O24" s="29">
        <f>J24*N24</f>
        <v>0</v>
      </c>
      <c r="P24" s="119">
        <f>J24+L24+O24</f>
        <v>0</v>
      </c>
      <c r="Q24" s="137"/>
    </row>
    <row r="25" spans="1:17" x14ac:dyDescent="0.25">
      <c r="A25" s="30"/>
      <c r="B25" s="122"/>
      <c r="C25" s="123"/>
      <c r="D25" s="123"/>
      <c r="E25" s="123"/>
      <c r="F25" s="123"/>
      <c r="G25" s="123"/>
      <c r="H25" s="31"/>
      <c r="I25" s="32"/>
      <c r="J25" s="27">
        <v>0</v>
      </c>
      <c r="K25" s="29"/>
      <c r="L25" s="119">
        <f t="shared" ref="L25" si="0">J25*K25/100</f>
        <v>0</v>
      </c>
      <c r="M25" s="119"/>
      <c r="N25" s="29"/>
      <c r="O25" s="27">
        <f t="shared" ref="O25" si="1">J25*N25/100</f>
        <v>0</v>
      </c>
      <c r="P25" s="120">
        <f t="shared" ref="P25" si="2">J25+L25+O25</f>
        <v>0</v>
      </c>
      <c r="Q25" s="121"/>
    </row>
    <row r="26" spans="1:17" x14ac:dyDescent="0.25">
      <c r="A26" s="30"/>
      <c r="B26" s="124"/>
      <c r="C26" s="125"/>
      <c r="D26" s="125"/>
      <c r="E26" s="125"/>
      <c r="F26" s="125"/>
      <c r="G26" s="126"/>
      <c r="H26" s="31"/>
      <c r="I26" s="32"/>
      <c r="J26" s="27">
        <v>0</v>
      </c>
      <c r="K26" s="29"/>
      <c r="L26" s="119">
        <f t="shared" ref="L26:L34" si="3">J26*K26/100</f>
        <v>0</v>
      </c>
      <c r="M26" s="119"/>
      <c r="N26" s="29"/>
      <c r="O26" s="27">
        <f t="shared" ref="O26:O34" si="4">J26*N26/100</f>
        <v>0</v>
      </c>
      <c r="P26" s="120">
        <f t="shared" ref="P26:P34" si="5">J26+L26+O26</f>
        <v>0</v>
      </c>
      <c r="Q26" s="121"/>
    </row>
    <row r="27" spans="1:17" x14ac:dyDescent="0.25">
      <c r="A27" s="30"/>
      <c r="B27" s="118"/>
      <c r="C27" s="118"/>
      <c r="D27" s="118"/>
      <c r="E27" s="118"/>
      <c r="F27" s="118"/>
      <c r="G27" s="118"/>
      <c r="H27" s="33"/>
      <c r="I27" s="32"/>
      <c r="J27" s="27">
        <f t="shared" ref="J27:J34" si="6">G27-I27</f>
        <v>0</v>
      </c>
      <c r="K27" s="27"/>
      <c r="L27" s="119">
        <f t="shared" si="3"/>
        <v>0</v>
      </c>
      <c r="M27" s="119"/>
      <c r="N27" s="27"/>
      <c r="O27" s="27">
        <f t="shared" si="4"/>
        <v>0</v>
      </c>
      <c r="P27" s="120">
        <f t="shared" si="5"/>
        <v>0</v>
      </c>
      <c r="Q27" s="121"/>
    </row>
    <row r="28" spans="1:17" x14ac:dyDescent="0.25">
      <c r="A28" s="30"/>
      <c r="B28" s="118"/>
      <c r="C28" s="118"/>
      <c r="D28" s="118"/>
      <c r="E28" s="118"/>
      <c r="F28" s="118"/>
      <c r="G28" s="118"/>
      <c r="H28" s="33"/>
      <c r="I28" s="32"/>
      <c r="J28" s="27">
        <f t="shared" si="6"/>
        <v>0</v>
      </c>
      <c r="K28" s="27"/>
      <c r="L28" s="119">
        <f t="shared" si="3"/>
        <v>0</v>
      </c>
      <c r="M28" s="119"/>
      <c r="N28" s="27"/>
      <c r="O28" s="27">
        <f t="shared" si="4"/>
        <v>0</v>
      </c>
      <c r="P28" s="120">
        <f t="shared" si="5"/>
        <v>0</v>
      </c>
      <c r="Q28" s="121"/>
    </row>
    <row r="29" spans="1:17" ht="16.5" x14ac:dyDescent="0.3">
      <c r="A29" s="34"/>
      <c r="B29" s="72" t="s">
        <v>15</v>
      </c>
      <c r="C29" s="72"/>
      <c r="D29" s="72"/>
      <c r="E29" s="72"/>
      <c r="F29" s="72"/>
      <c r="G29" s="72"/>
      <c r="H29" s="35"/>
      <c r="I29" s="36"/>
      <c r="J29" s="37">
        <f t="shared" si="6"/>
        <v>0</v>
      </c>
      <c r="K29" s="37"/>
      <c r="L29" s="109">
        <f t="shared" si="3"/>
        <v>0</v>
      </c>
      <c r="M29" s="109"/>
      <c r="N29" s="37"/>
      <c r="O29" s="37">
        <f t="shared" si="4"/>
        <v>0</v>
      </c>
      <c r="P29" s="110">
        <f t="shared" si="5"/>
        <v>0</v>
      </c>
      <c r="Q29" s="111"/>
    </row>
    <row r="30" spans="1:17" ht="16.5" x14ac:dyDescent="0.3">
      <c r="A30" s="34"/>
      <c r="B30" s="72"/>
      <c r="C30" s="72"/>
      <c r="D30" s="72"/>
      <c r="E30" s="72"/>
      <c r="F30" s="72"/>
      <c r="G30" s="72"/>
      <c r="H30" s="35"/>
      <c r="I30" s="36"/>
      <c r="J30" s="37">
        <f t="shared" ref="J30" si="7">G30-I30</f>
        <v>0</v>
      </c>
      <c r="K30" s="37"/>
      <c r="L30" s="109">
        <f t="shared" ref="L30" si="8">J30*K30/100</f>
        <v>0</v>
      </c>
      <c r="M30" s="109"/>
      <c r="N30" s="37"/>
      <c r="O30" s="37">
        <f t="shared" ref="O30" si="9">J30*N30/100</f>
        <v>0</v>
      </c>
      <c r="P30" s="110">
        <f t="shared" ref="P30" si="10">J30+L30+O30</f>
        <v>0</v>
      </c>
      <c r="Q30" s="111"/>
    </row>
    <row r="31" spans="1:17" ht="16.5" x14ac:dyDescent="0.3">
      <c r="A31" s="34"/>
      <c r="B31" s="72"/>
      <c r="C31" s="72"/>
      <c r="D31" s="72"/>
      <c r="E31" s="72"/>
      <c r="F31" s="72"/>
      <c r="G31" s="72"/>
      <c r="H31" s="35"/>
      <c r="I31" s="36"/>
      <c r="J31" s="37">
        <f t="shared" si="6"/>
        <v>0</v>
      </c>
      <c r="K31" s="37"/>
      <c r="L31" s="109">
        <f t="shared" si="3"/>
        <v>0</v>
      </c>
      <c r="M31" s="109"/>
      <c r="N31" s="37"/>
      <c r="O31" s="37">
        <f t="shared" si="4"/>
        <v>0</v>
      </c>
      <c r="P31" s="110">
        <f t="shared" si="5"/>
        <v>0</v>
      </c>
      <c r="Q31" s="111"/>
    </row>
    <row r="32" spans="1:17" ht="16.5" x14ac:dyDescent="0.3">
      <c r="A32" s="36"/>
      <c r="B32" s="72"/>
      <c r="C32" s="72"/>
      <c r="D32" s="72"/>
      <c r="E32" s="72"/>
      <c r="F32" s="72"/>
      <c r="G32" s="72"/>
      <c r="H32" s="35"/>
      <c r="I32" s="36"/>
      <c r="J32" s="37">
        <f t="shared" si="6"/>
        <v>0</v>
      </c>
      <c r="K32" s="37"/>
      <c r="L32" s="109">
        <f t="shared" si="3"/>
        <v>0</v>
      </c>
      <c r="M32" s="109"/>
      <c r="N32" s="37"/>
      <c r="O32" s="37">
        <f t="shared" si="4"/>
        <v>0</v>
      </c>
      <c r="P32" s="110">
        <f t="shared" si="5"/>
        <v>0</v>
      </c>
      <c r="Q32" s="111"/>
    </row>
    <row r="33" spans="1:17" ht="16.5" x14ac:dyDescent="0.3">
      <c r="A33" s="34"/>
      <c r="B33" s="72"/>
      <c r="C33" s="72"/>
      <c r="D33" s="72"/>
      <c r="E33" s="72"/>
      <c r="F33" s="72"/>
      <c r="G33" s="72"/>
      <c r="H33" s="35"/>
      <c r="I33" s="36"/>
      <c r="J33" s="37">
        <f t="shared" si="6"/>
        <v>0</v>
      </c>
      <c r="K33" s="37"/>
      <c r="L33" s="109">
        <f t="shared" si="3"/>
        <v>0</v>
      </c>
      <c r="M33" s="109"/>
      <c r="N33" s="37"/>
      <c r="O33" s="37">
        <f t="shared" si="4"/>
        <v>0</v>
      </c>
      <c r="P33" s="110">
        <f t="shared" si="5"/>
        <v>0</v>
      </c>
      <c r="Q33" s="111"/>
    </row>
    <row r="34" spans="1:17" ht="17.25" thickBot="1" x14ac:dyDescent="0.35">
      <c r="A34" s="38"/>
      <c r="B34" s="112"/>
      <c r="C34" s="113"/>
      <c r="D34" s="113"/>
      <c r="E34" s="113"/>
      <c r="F34" s="113"/>
      <c r="G34" s="114"/>
      <c r="H34" s="39"/>
      <c r="I34" s="46"/>
      <c r="J34" s="45">
        <f t="shared" si="6"/>
        <v>0</v>
      </c>
      <c r="K34" s="45"/>
      <c r="L34" s="115">
        <f t="shared" si="3"/>
        <v>0</v>
      </c>
      <c r="M34" s="115"/>
      <c r="N34" s="45"/>
      <c r="O34" s="45">
        <f t="shared" si="4"/>
        <v>0</v>
      </c>
      <c r="P34" s="116">
        <f t="shared" si="5"/>
        <v>0</v>
      </c>
      <c r="Q34" s="117"/>
    </row>
    <row r="35" spans="1:17" ht="27" thickBot="1" x14ac:dyDescent="0.3">
      <c r="A35" s="92" t="s">
        <v>12</v>
      </c>
      <c r="B35" s="93"/>
      <c r="C35" s="93"/>
      <c r="D35" s="93"/>
      <c r="E35" s="93"/>
      <c r="F35" s="93"/>
      <c r="G35" s="94"/>
      <c r="H35" s="40"/>
      <c r="I35" s="47">
        <f>SUM(I24:I34)</f>
        <v>0</v>
      </c>
      <c r="J35" s="48">
        <f>SUM(J24:J34)</f>
        <v>0</v>
      </c>
      <c r="K35" s="48"/>
      <c r="L35" s="95">
        <f>SUM(L24:M34)</f>
        <v>0</v>
      </c>
      <c r="M35" s="96"/>
      <c r="N35" s="48"/>
      <c r="O35" s="48">
        <f>SUM(O24:O34)</f>
        <v>0</v>
      </c>
      <c r="P35" s="95">
        <f>SUM(P24:P34)</f>
        <v>0</v>
      </c>
      <c r="Q35" s="97"/>
    </row>
    <row r="36" spans="1:17" ht="15.75" thickBot="1" x14ac:dyDescent="0.3">
      <c r="A36" s="98" t="s">
        <v>16</v>
      </c>
      <c r="B36" s="99"/>
      <c r="C36" s="99"/>
      <c r="D36" s="99"/>
      <c r="E36" s="99"/>
      <c r="F36" s="99"/>
      <c r="G36" s="99"/>
      <c r="H36" s="99"/>
      <c r="I36" s="100"/>
      <c r="J36" s="100"/>
      <c r="K36" s="101" t="s">
        <v>17</v>
      </c>
      <c r="L36" s="102"/>
      <c r="M36" s="102"/>
      <c r="N36" s="102"/>
      <c r="O36" s="103"/>
      <c r="P36" s="104">
        <f>J35</f>
        <v>0</v>
      </c>
      <c r="Q36" s="105"/>
    </row>
    <row r="37" spans="1:17" x14ac:dyDescent="0.25">
      <c r="A37" s="106" t="s">
        <v>30</v>
      </c>
      <c r="B37" s="107"/>
      <c r="C37" s="107"/>
      <c r="D37" s="107"/>
      <c r="E37" s="107"/>
      <c r="F37" s="107"/>
      <c r="G37" s="107"/>
      <c r="H37" s="107"/>
      <c r="I37" s="107"/>
      <c r="J37" s="108"/>
      <c r="K37" s="87" t="s">
        <v>18</v>
      </c>
      <c r="L37" s="88"/>
      <c r="M37" s="88"/>
      <c r="N37" s="88"/>
      <c r="O37" s="89"/>
      <c r="P37" s="90">
        <f>L35</f>
        <v>0</v>
      </c>
      <c r="Q37" s="91"/>
    </row>
    <row r="38" spans="1:17" x14ac:dyDescent="0.25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87" t="s">
        <v>19</v>
      </c>
      <c r="L38" s="88"/>
      <c r="M38" s="88"/>
      <c r="N38" s="88"/>
      <c r="O38" s="89"/>
      <c r="P38" s="90">
        <f>O35</f>
        <v>0</v>
      </c>
      <c r="Q38" s="91"/>
    </row>
    <row r="39" spans="1:17" x14ac:dyDescent="0.25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87" t="s">
        <v>20</v>
      </c>
      <c r="L39" s="88"/>
      <c r="M39" s="88"/>
      <c r="N39" s="88"/>
      <c r="O39" s="89"/>
      <c r="P39" s="90">
        <f>SUM(P37:Q38)</f>
        <v>0</v>
      </c>
      <c r="Q39" s="91"/>
    </row>
    <row r="40" spans="1:17" ht="16.5" thickBot="1" x14ac:dyDescent="0.35">
      <c r="A40" s="43"/>
      <c r="B40" s="44"/>
      <c r="C40" s="44"/>
      <c r="D40" s="44"/>
      <c r="E40" s="44"/>
      <c r="F40" s="44"/>
      <c r="G40" s="42"/>
      <c r="H40" s="42"/>
      <c r="I40" s="42"/>
      <c r="J40" s="42"/>
      <c r="K40" s="59" t="s">
        <v>21</v>
      </c>
      <c r="L40" s="60"/>
      <c r="M40" s="60"/>
      <c r="N40" s="60"/>
      <c r="O40" s="61"/>
      <c r="P40" s="62">
        <f>P36+P39</f>
        <v>0</v>
      </c>
      <c r="Q40" s="63"/>
    </row>
    <row r="41" spans="1:17" ht="17.25" thickBot="1" x14ac:dyDescent="0.35">
      <c r="A41" s="64" t="s">
        <v>22</v>
      </c>
      <c r="B41" s="65"/>
      <c r="C41" s="65"/>
      <c r="D41" s="65"/>
      <c r="E41" s="65"/>
      <c r="F41" s="65"/>
      <c r="G41" s="66"/>
      <c r="H41" s="67"/>
      <c r="I41" s="68"/>
      <c r="J41" s="69"/>
      <c r="K41" s="74" t="s">
        <v>23</v>
      </c>
      <c r="L41" s="74"/>
      <c r="M41" s="74"/>
      <c r="N41" s="74"/>
      <c r="O41" s="75"/>
      <c r="P41" s="76">
        <f>IF(I11="Y",SUM(P37:Q38),0)</f>
        <v>0</v>
      </c>
      <c r="Q41" s="77"/>
    </row>
    <row r="42" spans="1:17" x14ac:dyDescent="0.25">
      <c r="A42" s="78" t="s">
        <v>37</v>
      </c>
      <c r="B42" s="79"/>
      <c r="C42" s="79"/>
      <c r="D42" s="79"/>
      <c r="E42" s="79"/>
      <c r="F42" s="80"/>
      <c r="G42" s="70"/>
      <c r="H42" s="71"/>
      <c r="I42" s="72"/>
      <c r="J42" s="73"/>
      <c r="K42" s="81" t="s">
        <v>31</v>
      </c>
      <c r="L42" s="82"/>
      <c r="M42" s="82"/>
      <c r="N42" s="82"/>
      <c r="O42" s="82"/>
      <c r="P42" s="82"/>
      <c r="Q42" s="83"/>
    </row>
    <row r="43" spans="1:17" ht="15.75" thickBot="1" x14ac:dyDescent="0.3">
      <c r="A43" s="59" t="s">
        <v>38</v>
      </c>
      <c r="B43" s="60"/>
      <c r="C43" s="60"/>
      <c r="D43" s="60"/>
      <c r="E43" s="60"/>
      <c r="F43" s="61"/>
      <c r="G43" s="70"/>
      <c r="H43" s="71"/>
      <c r="I43" s="72"/>
      <c r="J43" s="73"/>
      <c r="K43" s="84" t="s">
        <v>32</v>
      </c>
      <c r="L43" s="85"/>
      <c r="M43" s="85"/>
      <c r="N43" s="85"/>
      <c r="O43" s="85"/>
      <c r="P43" s="85"/>
      <c r="Q43" s="86"/>
    </row>
    <row r="44" spans="1:17" x14ac:dyDescent="0.25">
      <c r="A44" s="49" t="s">
        <v>24</v>
      </c>
      <c r="B44" s="50"/>
      <c r="C44" s="50"/>
      <c r="D44" s="50"/>
      <c r="E44" s="50"/>
      <c r="F44" s="50"/>
      <c r="G44" s="70"/>
      <c r="H44" s="71"/>
      <c r="I44" s="72"/>
      <c r="J44" s="73"/>
      <c r="K44" s="53"/>
      <c r="L44" s="54"/>
      <c r="M44" s="54"/>
      <c r="N44" s="54"/>
      <c r="O44" s="54"/>
      <c r="P44" s="54"/>
      <c r="Q44" s="55"/>
    </row>
    <row r="45" spans="1:17" x14ac:dyDescent="0.25">
      <c r="A45" s="49"/>
      <c r="B45" s="50"/>
      <c r="C45" s="50"/>
      <c r="D45" s="50"/>
      <c r="E45" s="50"/>
      <c r="F45" s="50"/>
      <c r="G45" s="70"/>
      <c r="H45" s="71"/>
      <c r="I45" s="72"/>
      <c r="J45" s="73"/>
      <c r="K45" s="53"/>
      <c r="L45" s="54"/>
      <c r="M45" s="54"/>
      <c r="N45" s="54"/>
      <c r="O45" s="54"/>
      <c r="P45" s="54"/>
      <c r="Q45" s="55"/>
    </row>
    <row r="46" spans="1:17" x14ac:dyDescent="0.25">
      <c r="A46" s="49"/>
      <c r="B46" s="50"/>
      <c r="C46" s="50"/>
      <c r="D46" s="50"/>
      <c r="E46" s="50"/>
      <c r="F46" s="50"/>
      <c r="G46" s="70"/>
      <c r="H46" s="71"/>
      <c r="I46" s="72"/>
      <c r="J46" s="73"/>
      <c r="K46" s="53"/>
      <c r="L46" s="54"/>
      <c r="M46" s="54"/>
      <c r="N46" s="54"/>
      <c r="O46" s="54"/>
      <c r="P46" s="54"/>
      <c r="Q46" s="55"/>
    </row>
    <row r="47" spans="1:17" x14ac:dyDescent="0.25">
      <c r="A47" s="49"/>
      <c r="B47" s="50"/>
      <c r="C47" s="50"/>
      <c r="D47" s="50"/>
      <c r="E47" s="50"/>
      <c r="F47" s="50"/>
      <c r="G47" s="70"/>
      <c r="H47" s="71"/>
      <c r="I47" s="72"/>
      <c r="J47" s="73"/>
      <c r="K47" s="53"/>
      <c r="L47" s="54"/>
      <c r="M47" s="54"/>
      <c r="N47" s="54"/>
      <c r="O47" s="54"/>
      <c r="P47" s="54"/>
      <c r="Q47" s="55"/>
    </row>
    <row r="48" spans="1:17" ht="15.75" thickBot="1" x14ac:dyDescent="0.3">
      <c r="A48" s="51"/>
      <c r="B48" s="52"/>
      <c r="C48" s="52"/>
      <c r="D48" s="52"/>
      <c r="E48" s="52"/>
      <c r="F48" s="52"/>
      <c r="G48" s="56" t="s">
        <v>25</v>
      </c>
      <c r="H48" s="57"/>
      <c r="I48" s="57"/>
      <c r="J48" s="58"/>
      <c r="K48" s="56" t="s">
        <v>26</v>
      </c>
      <c r="L48" s="57"/>
      <c r="M48" s="57"/>
      <c r="N48" s="57"/>
      <c r="O48" s="57"/>
      <c r="P48" s="57"/>
      <c r="Q48" s="58"/>
    </row>
  </sheetData>
  <mergeCells count="87">
    <mergeCell ref="A10:Q10"/>
    <mergeCell ref="D3:N3"/>
    <mergeCell ref="E4:N5"/>
    <mergeCell ref="F6:N6"/>
    <mergeCell ref="A7:Q8"/>
    <mergeCell ref="A9:Q9"/>
    <mergeCell ref="A21:Q21"/>
    <mergeCell ref="A11:G11"/>
    <mergeCell ref="J11:Q11"/>
    <mergeCell ref="A12:F12"/>
    <mergeCell ref="J12:Q12"/>
    <mergeCell ref="A13:Q13"/>
    <mergeCell ref="A14:Q14"/>
    <mergeCell ref="A15:Q15"/>
    <mergeCell ref="A16:Q18"/>
    <mergeCell ref="A19:Q19"/>
    <mergeCell ref="A20:F20"/>
    <mergeCell ref="I20:Q20"/>
    <mergeCell ref="A22:A23"/>
    <mergeCell ref="B22:G23"/>
    <mergeCell ref="H22:H23"/>
    <mergeCell ref="I22:I23"/>
    <mergeCell ref="J22:J23"/>
    <mergeCell ref="N22:O22"/>
    <mergeCell ref="P22:Q23"/>
    <mergeCell ref="L23:M23"/>
    <mergeCell ref="B24:G24"/>
    <mergeCell ref="L24:M24"/>
    <mergeCell ref="P24:Q24"/>
    <mergeCell ref="K22:M22"/>
    <mergeCell ref="B25:G25"/>
    <mergeCell ref="L25:M25"/>
    <mergeCell ref="P25:Q25"/>
    <mergeCell ref="B26:G26"/>
    <mergeCell ref="L26:M26"/>
    <mergeCell ref="P26:Q26"/>
    <mergeCell ref="B27:G27"/>
    <mergeCell ref="L27:M27"/>
    <mergeCell ref="P27:Q27"/>
    <mergeCell ref="B28:G28"/>
    <mergeCell ref="L28:M28"/>
    <mergeCell ref="P28:Q28"/>
    <mergeCell ref="B29:G29"/>
    <mergeCell ref="L29:M29"/>
    <mergeCell ref="P29:Q29"/>
    <mergeCell ref="B30:G30"/>
    <mergeCell ref="L30:M30"/>
    <mergeCell ref="P30:Q30"/>
    <mergeCell ref="B31:G31"/>
    <mergeCell ref="L31:M31"/>
    <mergeCell ref="P31:Q31"/>
    <mergeCell ref="B32:G32"/>
    <mergeCell ref="L32:M32"/>
    <mergeCell ref="P32:Q32"/>
    <mergeCell ref="B33:G33"/>
    <mergeCell ref="L33:M33"/>
    <mergeCell ref="P33:Q33"/>
    <mergeCell ref="B34:G34"/>
    <mergeCell ref="L34:M34"/>
    <mergeCell ref="P34:Q34"/>
    <mergeCell ref="K39:O39"/>
    <mergeCell ref="P39:Q39"/>
    <mergeCell ref="A35:G35"/>
    <mergeCell ref="L35:M35"/>
    <mergeCell ref="P35:Q35"/>
    <mergeCell ref="A36:J36"/>
    <mergeCell ref="K36:O36"/>
    <mergeCell ref="P36:Q36"/>
    <mergeCell ref="A37:J37"/>
    <mergeCell ref="K37:O37"/>
    <mergeCell ref="P37:Q37"/>
    <mergeCell ref="K38:O38"/>
    <mergeCell ref="P38:Q38"/>
    <mergeCell ref="A44:F48"/>
    <mergeCell ref="K44:Q47"/>
    <mergeCell ref="G48:J48"/>
    <mergeCell ref="K48:Q48"/>
    <mergeCell ref="K40:O40"/>
    <mergeCell ref="P40:Q40"/>
    <mergeCell ref="A41:F41"/>
    <mergeCell ref="G41:J47"/>
    <mergeCell ref="K41:O41"/>
    <mergeCell ref="P41:Q41"/>
    <mergeCell ref="A42:F42"/>
    <mergeCell ref="K42:Q42"/>
    <mergeCell ref="A43:F43"/>
    <mergeCell ref="K43:Q43"/>
  </mergeCells>
  <pageMargins left="0.25" right="0.2" top="0.75" bottom="0.75" header="0.3" footer="0.3"/>
  <pageSetup paperSize="9" scale="6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 24-25 001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Patel</dc:creator>
  <cp:lastModifiedBy>Kinjal Patel</cp:lastModifiedBy>
  <cp:lastPrinted>2024-04-17T05:39:39Z</cp:lastPrinted>
  <dcterms:created xsi:type="dcterms:W3CDTF">2015-06-05T18:17:20Z</dcterms:created>
  <dcterms:modified xsi:type="dcterms:W3CDTF">2024-05-11T13:08:20Z</dcterms:modified>
</cp:coreProperties>
</file>