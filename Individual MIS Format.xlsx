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nil Backup as on 30102021\Vibe Software\Software Installation\"/>
    </mc:Choice>
  </mc:AlternateContent>
  <xr:revisionPtr revIDLastSave="0" documentId="13_ncr:1_{136B5856-96BF-4795-9253-EE1674D46630}" xr6:coauthVersionLast="47" xr6:coauthVersionMax="47" xr10:uidLastSave="{00000000-0000-0000-0000-000000000000}"/>
  <bookViews>
    <workbookView xWindow="-120" yWindow="-120" windowWidth="20730" windowHeight="11040" tabRatio="853" xr2:uid="{75CB8762-011F-42DD-BB40-E68186E337C5}"/>
  </bookViews>
  <sheets>
    <sheet name="Individual CAM" sheetId="43" r:id="rId1"/>
  </sheets>
  <definedNames>
    <definedName name="_xlnm._FilterDatabase" localSheetId="0" hidden="1">'Individual CAM'!$A$1:$W$3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3" l="1"/>
  <c r="U2" i="43"/>
  <c r="Q2" i="43"/>
  <c r="V2" i="43" s="1"/>
  <c r="K2" i="43"/>
  <c r="W2" i="43" l="1"/>
  <c r="J3" i="43"/>
  <c r="I3" i="43"/>
  <c r="D3" i="43" l="1"/>
  <c r="K3" i="43" l="1"/>
  <c r="L3" i="43" l="1"/>
  <c r="U3" i="43" l="1"/>
  <c r="Q3" i="43" l="1"/>
  <c r="V3" i="43" l="1"/>
  <c r="W3" i="43"/>
</calcChain>
</file>

<file path=xl/sharedStrings.xml><?xml version="1.0" encoding="utf-8"?>
<sst xmlns="http://schemas.openxmlformats.org/spreadsheetml/2006/main" count="26" uniqueCount="24">
  <si>
    <t>Security Charges</t>
  </si>
  <si>
    <t>CAM Received</t>
  </si>
  <si>
    <t>Apex Fund</t>
  </si>
  <si>
    <t>Total Expenses</t>
  </si>
  <si>
    <t>Total Income</t>
  </si>
  <si>
    <t>Atria</t>
  </si>
  <si>
    <t>Sr No</t>
  </si>
  <si>
    <t>Unit</t>
  </si>
  <si>
    <t>Name of member</t>
  </si>
  <si>
    <t>Possession Date</t>
  </si>
  <si>
    <t>AFS DATE</t>
  </si>
  <si>
    <t>CAM start date</t>
  </si>
  <si>
    <t>CAM Due</t>
  </si>
  <si>
    <t>Balance</t>
  </si>
  <si>
    <t>Total Net Expenses</t>
  </si>
  <si>
    <t>Balance Fund</t>
  </si>
  <si>
    <t>3A-0301</t>
  </si>
  <si>
    <t>ABC Ltd</t>
  </si>
  <si>
    <t>Electricity Charges</t>
  </si>
  <si>
    <t>Housekeeping Charges</t>
  </si>
  <si>
    <t>MTS Charges</t>
  </si>
  <si>
    <t>Income head</t>
  </si>
  <si>
    <t>Carpet Area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</si>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</sst>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7" formatCode="[$-409]m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9" fillId="0" borderId="0"/>
    <xf numFmtId="0" fontId="1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7" fillId="0" borderId="1" xfId="0" applyFont="1" applyBorder="1"/>
    <xf numFmtId="0" fontId="6" fillId="0" borderId="1" xfId="0" applyFont="1" applyBorder="1"/>
    <xf numFmtId="0" fontId="2" fillId="0" borderId="0" xfId="0" applyFont="1"/>
    <xf numFmtId="0" fontId="6" fillId="0" borderId="1" xfId="0" applyFont="1" applyBorder="1" applyAlignment="1">
      <alignment horizontal="center"/>
    </xf>
    <xf numFmtId="43" fontId="0" fillId="0" borderId="0" xfId="0" applyNumberForma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3" applyFont="1" applyBorder="1" applyAlignment="1">
      <alignment horizontal="center"/>
    </xf>
    <xf numFmtId="165" fontId="7" fillId="0" borderId="1" xfId="1" applyNumberFormat="1" applyFont="1" applyFill="1" applyBorder="1"/>
    <xf numFmtId="15" fontId="7" fillId="0" borderId="1" xfId="4" applyNumberFormat="1" applyFont="1" applyBorder="1" applyAlignment="1">
      <alignment horizontal="center" vertical="center"/>
    </xf>
    <xf numFmtId="15" fontId="7" fillId="0" borderId="1" xfId="3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 wrapText="1"/>
    </xf>
    <xf numFmtId="165" fontId="7" fillId="0" borderId="1" xfId="1" applyNumberFormat="1" applyFont="1" applyFill="1" applyBorder="1" applyAlignment="1">
      <alignment horizontal="center"/>
    </xf>
    <xf numFmtId="165" fontId="7" fillId="0" borderId="1" xfId="1" applyNumberFormat="1" applyFont="1" applyFill="1" applyBorder="1" applyAlignment="1"/>
    <xf numFmtId="165" fontId="0" fillId="0" borderId="1" xfId="1" applyNumberFormat="1" applyFont="1" applyBorder="1"/>
    <xf numFmtId="2" fontId="0" fillId="0" borderId="0" xfId="0" applyNumberFormat="1"/>
    <xf numFmtId="165" fontId="0" fillId="0" borderId="0" xfId="0" applyNumberFormat="1"/>
    <xf numFmtId="0" fontId="7" fillId="0" borderId="1" xfId="3" applyFont="1" applyBorder="1" applyAlignment="1">
      <alignment horizontal="left" vertical="center"/>
    </xf>
    <xf numFmtId="165" fontId="2" fillId="0" borderId="1" xfId="1" applyNumberFormat="1" applyFont="1" applyBorder="1"/>
  </cellXfs>
  <cellStyles count="18">
    <cellStyle name="Comma" xfId="1" builtinId="3"/>
    <cellStyle name="Comma 10" xfId="13" xr:uid="{FDDA3D51-3AF6-490D-95E8-62706168D612}"/>
    <cellStyle name="Comma 2" xfId="2" xr:uid="{00000000-0005-0000-0000-000001000000}"/>
    <cellStyle name="Comma 2 2" xfId="7" xr:uid="{00000000-0005-0000-0000-000002000000}"/>
    <cellStyle name="Comma 2 3" xfId="17" xr:uid="{01A19699-6193-41BD-A852-1E8EEAAD29A2}"/>
    <cellStyle name="Comma 3" xfId="6" xr:uid="{00000000-0005-0000-0000-000003000000}"/>
    <cellStyle name="Comma 3 2" xfId="16" xr:uid="{6250AA76-09CB-4890-992C-28560375DFF9}"/>
    <cellStyle name="Comma 4" xfId="12" xr:uid="{0C124A3E-B9A0-497D-B0EF-2B7A184E5A7A}"/>
    <cellStyle name="Comma 5" xfId="15" xr:uid="{BA5932BF-260A-4D61-BE7B-7B7B04670C05}"/>
    <cellStyle name="Excel Built-in Normal" xfId="10" xr:uid="{DA365FC3-AFC1-4293-92AC-8A986E4A7D96}"/>
    <cellStyle name="Normal" xfId="0" builtinId="0"/>
    <cellStyle name="Normal 2" xfId="5" xr:uid="{00000000-0005-0000-0000-000005000000}"/>
    <cellStyle name="Normal 2 2" xfId="8" xr:uid="{E7A389AD-D510-4BC2-887F-F2FCC88EDBE5}"/>
    <cellStyle name="Normal 3" xfId="3" xr:uid="{00000000-0005-0000-0000-000006000000}"/>
    <cellStyle name="Normal 3 2" xfId="4" xr:uid="{00000000-0005-0000-0000-000007000000}"/>
    <cellStyle name="Normal 4" xfId="11" xr:uid="{5CDF034E-2525-4857-AF59-18EE3F6DCFA8}"/>
    <cellStyle name="Percent 10" xfId="14" xr:uid="{158BCA1C-F2C1-45C2-BE16-B7149726E948}"/>
    <cellStyle name="Percent 2" xfId="9" xr:uid="{82422CEA-5C03-4037-A652-1C93ACBF9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B858-CC39-42D7-9E46-19B261AF4DFD}">
  <dimension ref="A1:Y6"/>
  <sheetViews>
    <sheetView tabSelected="1" zoomScale="83" workbookViewId="0">
      <pane xSplit="5" ySplit="1" topLeftCell="I2" activePane="bottomRight" state="frozen"/>
      <selection activeCell="A9" sqref="A9"/>
      <selection pane="topRight" activeCell="A9" sqref="A9"/>
      <selection pane="bottomLeft" activeCell="A9" sqref="A9"/>
      <selection pane="bottomRight" activeCell="B1" sqref="B1"/>
    </sheetView>
  </sheetViews>
  <sheetFormatPr defaultRowHeight="15" x14ac:dyDescent="0.25"/>
  <cols>
    <col min="1" max="1" width="5.7109375" bestFit="1" customWidth="1"/>
    <col min="2" max="2" width="9" bestFit="1" customWidth="1"/>
    <col min="3" max="3" width="9.85546875" bestFit="1" customWidth="1"/>
    <col min="4" max="4" width="12.140625" customWidth="1"/>
    <col min="5" max="5" width="34.85546875" customWidth="1"/>
    <col min="6" max="6" width="14.42578125" bestFit="1" customWidth="1"/>
    <col min="7" max="7" width="17.7109375" customWidth="1"/>
    <col min="8" max="8" width="13.7109375" bestFit="1" customWidth="1"/>
    <col min="9" max="10" width="16.42578125" bestFit="1" customWidth="1"/>
    <col min="11" max="11" width="13.5703125" bestFit="1" customWidth="1"/>
    <col min="12" max="12" width="15.42578125" bestFit="1" customWidth="1"/>
    <col min="13" max="16" width="15.42578125" customWidth="1"/>
    <col min="17" max="17" width="15.42578125" bestFit="1" customWidth="1"/>
    <col min="18" max="20" width="15.42578125" customWidth="1"/>
    <col min="21" max="23" width="15.42578125" bestFit="1" customWidth="1"/>
    <col min="25" max="25" width="13.7109375" bestFit="1" customWidth="1"/>
  </cols>
  <sheetData>
    <row r="1" spans="1:25" ht="30" x14ac:dyDescent="0.25">
      <c r="A1" s="7" t="s">
        <v>6</v>
      </c>
      <c r="B1" s="7" t="s">
        <v>23</v>
      </c>
      <c r="C1" s="5" t="s">
        <v>7</v>
      </c>
      <c r="D1" s="8" t="s">
        <v>22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</v>
      </c>
      <c r="K1" s="8" t="s">
        <v>13</v>
      </c>
      <c r="L1" s="7" t="s">
        <v>2</v>
      </c>
      <c r="M1" s="7" t="s">
        <v>18</v>
      </c>
      <c r="N1" s="7" t="s">
        <v>19</v>
      </c>
      <c r="O1" s="7" t="s">
        <v>0</v>
      </c>
      <c r="P1" s="7" t="s">
        <v>20</v>
      </c>
      <c r="Q1" s="7" t="s">
        <v>3</v>
      </c>
      <c r="R1" s="7" t="s">
        <v>21</v>
      </c>
      <c r="S1" s="7" t="s">
        <v>21</v>
      </c>
      <c r="T1" s="7" t="s">
        <v>21</v>
      </c>
      <c r="U1" s="7" t="s">
        <v>4</v>
      </c>
      <c r="V1" s="7" t="s">
        <v>14</v>
      </c>
      <c r="W1" s="3" t="s">
        <v>15</v>
      </c>
    </row>
    <row r="2" spans="1:25" x14ac:dyDescent="0.25">
      <c r="A2" s="9">
        <v>1</v>
      </c>
      <c r="B2" s="2" t="s">
        <v>5</v>
      </c>
      <c r="C2" s="9" t="s">
        <v>16</v>
      </c>
      <c r="D2" s="10">
        <v>400</v>
      </c>
      <c r="E2" s="19" t="s">
        <v>17</v>
      </c>
      <c r="F2" s="11"/>
      <c r="G2" s="12"/>
      <c r="H2" s="13"/>
      <c r="I2" s="14">
        <v>100000</v>
      </c>
      <c r="J2" s="15">
        <v>100000</v>
      </c>
      <c r="K2" s="10">
        <f t="shared" ref="K2" si="0">I2-J2</f>
        <v>0</v>
      </c>
      <c r="L2" s="10">
        <f>J2*30%</f>
        <v>30000</v>
      </c>
      <c r="M2" s="10">
        <v>1000</v>
      </c>
      <c r="N2" s="10">
        <v>2000</v>
      </c>
      <c r="O2" s="10">
        <v>2500</v>
      </c>
      <c r="P2" s="10">
        <v>500</v>
      </c>
      <c r="Q2" s="16">
        <f>SUM(M2:P2)</f>
        <v>6000</v>
      </c>
      <c r="R2" s="16">
        <v>100</v>
      </c>
      <c r="S2" s="16">
        <v>50</v>
      </c>
      <c r="T2" s="16">
        <v>200</v>
      </c>
      <c r="U2" s="16">
        <f>SUM(R2:T2)</f>
        <v>350</v>
      </c>
      <c r="V2" s="16">
        <f>Q2-U2</f>
        <v>5650</v>
      </c>
      <c r="W2" s="16">
        <f>L2-V2</f>
        <v>24350</v>
      </c>
      <c r="Y2" s="17"/>
    </row>
    <row r="3" spans="1:25" s="4" customFormat="1" x14ac:dyDescent="0.25">
      <c r="A3" s="1"/>
      <c r="B3" s="1"/>
      <c r="C3" s="1"/>
      <c r="D3" s="20">
        <f>SUBTOTAL(9,D2:D2)</f>
        <v>400</v>
      </c>
      <c r="E3" s="1"/>
      <c r="F3" s="1"/>
      <c r="G3" s="1"/>
      <c r="H3" s="1"/>
      <c r="I3" s="20">
        <f>SUBTOTAL(9,I2:I2)</f>
        <v>100000</v>
      </c>
      <c r="J3" s="20">
        <f>SUBTOTAL(9,J2:J2)</f>
        <v>100000</v>
      </c>
      <c r="K3" s="20">
        <f>SUBTOTAL(9,K2:K2)</f>
        <v>0</v>
      </c>
      <c r="L3" s="20">
        <f>SUBTOTAL(9,L2:L2)</f>
        <v>30000</v>
      </c>
      <c r="M3" s="20"/>
      <c r="N3" s="20"/>
      <c r="O3" s="20"/>
      <c r="P3" s="20"/>
      <c r="Q3" s="20">
        <f>SUBTOTAL(9,Q2:Q2)</f>
        <v>6000</v>
      </c>
      <c r="R3" s="20"/>
      <c r="S3" s="20"/>
      <c r="T3" s="20"/>
      <c r="U3" s="20">
        <f>SUBTOTAL(9,U2:U2)</f>
        <v>350</v>
      </c>
      <c r="V3" s="20">
        <f>SUBTOTAL(9,V2:V2)</f>
        <v>5650</v>
      </c>
      <c r="W3" s="20">
        <f>SUBTOTAL(9,W2:W2)</f>
        <v>24350</v>
      </c>
    </row>
    <row r="4" spans="1:25" x14ac:dyDescent="0.25">
      <c r="Q4" s="6"/>
      <c r="R4" s="6"/>
      <c r="S4" s="6"/>
      <c r="T4" s="6"/>
    </row>
    <row r="5" spans="1:25" x14ac:dyDescent="0.25">
      <c r="J5" s="18"/>
    </row>
    <row r="6" spans="1:25" x14ac:dyDescent="0.25">
      <c r="J6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Kannaujiya</dc:creator>
  <cp:lastModifiedBy>Facility Team</cp:lastModifiedBy>
  <cp:lastPrinted>2025-11-07T05:44:22Z</cp:lastPrinted>
  <dcterms:created xsi:type="dcterms:W3CDTF">2022-10-04T05:43:45Z</dcterms:created>
  <dcterms:modified xsi:type="dcterms:W3CDTF">2025-12-10T06:43:37Z</dcterms:modified>
</cp:coreProperties>
</file>